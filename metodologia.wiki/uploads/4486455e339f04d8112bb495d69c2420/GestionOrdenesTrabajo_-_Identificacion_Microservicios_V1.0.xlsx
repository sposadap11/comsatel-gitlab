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0-Proyectos\03-SIGO\10-Gestion-Ordenes-Trabajo\01-Adjuntos\"/>
    </mc:Choice>
  </mc:AlternateContent>
  <xr:revisionPtr revIDLastSave="0" documentId="13_ncr:1_{A136A83D-177F-4A70-A30C-D0FE8AC55815}" xr6:coauthVersionLast="36" xr6:coauthVersionMax="47" xr10:uidLastSave="{00000000-0000-0000-0000-000000000000}"/>
  <bookViews>
    <workbookView xWindow="0" yWindow="0" windowWidth="19200" windowHeight="6810" activeTab="2" xr2:uid="{4AA7E7DC-58A6-4794-AE62-3801F67222BA}"/>
  </bookViews>
  <sheets>
    <sheet name="Portafolio" sheetId="1" r:id="rId1"/>
    <sheet name="Dominios" sheetId="2" r:id="rId2"/>
    <sheet name="Modelo_Informacion" sheetId="3" r:id="rId3"/>
  </sheets>
  <definedNames>
    <definedName name="_xlnm._FilterDatabase" localSheetId="2" hidden="1">Modelo_Informacion!$A$6:$N$6</definedName>
    <definedName name="DOMINIOS">Dominios!$F$6:$F$13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7" i="1"/>
</calcChain>
</file>

<file path=xl/sharedStrings.xml><?xml version="1.0" encoding="utf-8"?>
<sst xmlns="http://schemas.openxmlformats.org/spreadsheetml/2006/main" count="342" uniqueCount="187">
  <si>
    <t>DOMINIO</t>
  </si>
  <si>
    <t>ROOT</t>
  </si>
  <si>
    <t>ENTITY</t>
  </si>
  <si>
    <t>METHOD</t>
  </si>
  <si>
    <t>RECURSO</t>
  </si>
  <si>
    <t>PROPÓSITO</t>
  </si>
  <si>
    <t>Consultar todas las Citas de la Ruta asignadas al técnico</t>
  </si>
  <si>
    <t>Registrar vehículo</t>
  </si>
  <si>
    <t>Actualizar datos del vehículo</t>
  </si>
  <si>
    <t>Vehiculo</t>
  </si>
  <si>
    <t>Cita</t>
  </si>
  <si>
    <t>Vehiculos</t>
  </si>
  <si>
    <t>Citas</t>
  </si>
  <si>
    <t>GET</t>
  </si>
  <si>
    <t>POST</t>
  </si>
  <si>
    <t>Autenticar usuario</t>
  </si>
  <si>
    <t>Usuario</t>
  </si>
  <si>
    <t>Seguridad</t>
  </si>
  <si>
    <t>Session</t>
  </si>
  <si>
    <t>Documento</t>
  </si>
  <si>
    <t>Verificar recepción de posiciones</t>
  </si>
  <si>
    <t>Posicion</t>
  </si>
  <si>
    <t>PUT</t>
  </si>
  <si>
    <t>Registrar asignación de equipos/accesorios al técnico</t>
  </si>
  <si>
    <t>Articulo</t>
  </si>
  <si>
    <t>Asignacion</t>
  </si>
  <si>
    <t>Inventario</t>
  </si>
  <si>
    <t>Consulta de técnicos</t>
  </si>
  <si>
    <t>Tecnico</t>
  </si>
  <si>
    <t>SIGO</t>
  </si>
  <si>
    <t>CL</t>
  </si>
  <si>
    <t>Cambiar asignación de artículos</t>
  </si>
  <si>
    <t>x</t>
  </si>
  <si>
    <t>Registro de evidencias de la Cita (documentos)</t>
  </si>
  <si>
    <t>Registrar inspección entrada/salida del vehículo</t>
  </si>
  <si>
    <t>Inspeccion</t>
  </si>
  <si>
    <t>Registrar atención de la cita (incluye cambios en items de cita) / OT</t>
  </si>
  <si>
    <t>Evento</t>
  </si>
  <si>
    <t>Verificar eventos de dispositivo (22 verificaciones)</t>
  </si>
  <si>
    <t>Solicitud Cambio</t>
  </si>
  <si>
    <t>Consulta de aprobación de solicitud de cambio de cita</t>
  </si>
  <si>
    <t>Registro de solicitud de cambio de cita (citas con costo)</t>
  </si>
  <si>
    <t>Registro de aprobación de solicitud de cambio de cita (costo)</t>
  </si>
  <si>
    <t>Alertar observación realizada por el técnico</t>
  </si>
  <si>
    <t>Alerta</t>
  </si>
  <si>
    <t>Registrar nuevo artículos en cita</t>
  </si>
  <si>
    <t>Reasignar técnico a cita (enviar notificación y sincronizacion)</t>
  </si>
  <si>
    <t>Consultar cuestionario de inspección</t>
  </si>
  <si>
    <t>Generar documento de inspección de vehículo (con envío al cliente)</t>
  </si>
  <si>
    <t>Consulta de vehículos para las citas de la jornada</t>
  </si>
  <si>
    <t>CRM</t>
  </si>
  <si>
    <t>SAP</t>
  </si>
  <si>
    <t>PORTAFOLIO DE MICROSERVICIOS
Identificación de Microservicios</t>
  </si>
  <si>
    <t>BACKENDS</t>
  </si>
  <si>
    <t>Crear un nuevo documento, en espacio en bucket según contenido y metadados</t>
  </si>
  <si>
    <t xml:space="preserve"> </t>
  </si>
  <si>
    <t>S3</t>
  </si>
  <si>
    <t>ES</t>
  </si>
  <si>
    <t>ARGS</t>
  </si>
  <si>
    <t>id</t>
  </si>
  <si>
    <t>Id</t>
  </si>
  <si>
    <t>citaId</t>
  </si>
  <si>
    <t>login</t>
  </si>
  <si>
    <t>v1</t>
  </si>
  <si>
    <t>Atencion</t>
  </si>
  <si>
    <r>
      <t xml:space="preserve">2. </t>
    </r>
    <r>
      <rPr>
        <b/>
        <sz val="11"/>
        <color rgb="FFC00000"/>
        <rFont val="Calibri"/>
        <family val="2"/>
        <scheme val="minor"/>
      </rPr>
      <t>NUNCA</t>
    </r>
    <r>
      <rPr>
        <sz val="11"/>
        <color theme="1"/>
        <rFont val="Calibri"/>
        <family val="2"/>
        <scheme val="minor"/>
      </rPr>
      <t xml:space="preserve"> utilizar verbos al definir el recurso (columnas D, F, H) pues la acción la determina el Verbo HTTP (Columna K)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</si>
  <si>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SIEMPRE</t>
    </r>
    <r>
      <rPr>
        <sz val="11"/>
        <color theme="1"/>
        <rFont val="Calibri"/>
        <family val="2"/>
        <scheme val="minor"/>
      </rPr>
      <t xml:space="preserve"> se deben basar en "recursos" (sustantivo más adjetivo)</t>
    </r>
  </si>
  <si>
    <t>LINEAMIENTOS:</t>
  </si>
  <si>
    <r>
      <t xml:space="preserve">3. </t>
    </r>
    <r>
      <rPr>
        <b/>
        <sz val="11"/>
        <color rgb="FF00B050"/>
        <rFont val="Calibri"/>
        <family val="2"/>
        <scheme val="minor"/>
      </rPr>
      <t>SIEMPRE</t>
    </r>
    <r>
      <rPr>
        <sz val="11"/>
        <color theme="1"/>
        <rFont val="Calibri"/>
        <family val="2"/>
        <scheme val="minor"/>
      </rPr>
      <t xml:space="preserve"> utilizar sustanticos en plural para denotar los recursos (columna L añade "s" a los objetos de columnas D, F, H)</t>
    </r>
  </si>
  <si>
    <r>
      <t xml:space="preserve">4. </t>
    </r>
    <r>
      <rPr>
        <b/>
        <sz val="11"/>
        <color rgb="FFFFC000"/>
        <rFont val="Calibri"/>
        <family val="2"/>
        <scheme val="minor"/>
      </rPr>
      <t>PROCURAR</t>
    </r>
    <r>
      <rPr>
        <sz val="11"/>
        <color theme="1"/>
        <rFont val="Calibri"/>
        <family val="2"/>
        <scheme val="minor"/>
      </rPr>
      <t xml:space="preserve"> no utilizar niveles superiores a 3 en la definición de acceso al recurso (de requerirse, se deberá ajustar fórmula en Columna L)</t>
    </r>
  </si>
  <si>
    <t>PROYECTO:</t>
  </si>
  <si>
    <t>ARQUITECTO:</t>
  </si>
  <si>
    <t>Ilver Anache Pupo</t>
  </si>
  <si>
    <t>Nombre</t>
  </si>
  <si>
    <t>Breve resumen</t>
  </si>
  <si>
    <t>Dueño</t>
  </si>
  <si>
    <r>
      <rPr>
        <b/>
        <sz val="14"/>
        <color theme="1"/>
        <rFont val="Calibri"/>
        <family val="2"/>
        <scheme val="minor"/>
      </rPr>
      <t>PORTAFOLIO DE MICROSERVICIOS</t>
    </r>
    <r>
      <rPr>
        <b/>
        <sz val="11"/>
        <color theme="1"/>
        <rFont val="Calibri"/>
        <family val="2"/>
        <scheme val="minor"/>
      </rPr>
      <t xml:space="preserve">
Identificación de Microservicios</t>
    </r>
  </si>
  <si>
    <t>Gestión de la Data Maestra de los vehículos a los que se les habilitará los servicios relacionados al rastreo satelital.</t>
  </si>
  <si>
    <t>Operaciones</t>
  </si>
  <si>
    <t>Gestión del ciclo completa de las citas de instalación, mantenimientos y retiros de los servicios y artículos requeridos para la prestación de/los servicios adquiridos por los clientes.</t>
  </si>
  <si>
    <t>Gestión de las solicitudes de instalación, mantenimientos y retiros de los servicios y artículos requeridos para la prestación de servicios adquiridos por los clientes.</t>
  </si>
  <si>
    <t>Gestión documental para los diferentes contenidos que se producen o requiren en los procesos de negocio.</t>
  </si>
  <si>
    <t>COMSATEL</t>
  </si>
  <si>
    <t>Infraestructura</t>
  </si>
  <si>
    <t>Gestión de las activides, reglas y políticas para asegurar el acceso y uso de los recursos digitales (tanto aplicaciones como microservicios).</t>
  </si>
  <si>
    <t>Gestión del inventarios de artículos (productos, equipos, accesorios, licencias, etc.) requeridos para la prestación de los servicios a los clientes</t>
  </si>
  <si>
    <t>Logística</t>
  </si>
  <si>
    <t>Contratos</t>
  </si>
  <si>
    <t>Gestión del ciclo de vida de los contratos derivados de las ventas de los servicios a los clientes.</t>
  </si>
  <si>
    <t>Administración y Finanzas</t>
  </si>
  <si>
    <t>Ventas</t>
  </si>
  <si>
    <t>Solicitudes de Servicio</t>
  </si>
  <si>
    <t>Nombre Técnico</t>
  </si>
  <si>
    <t>Gestión Documental</t>
  </si>
  <si>
    <t>Gestión de las ventas de los servicios y artículos a los clientes.</t>
  </si>
  <si>
    <t>Nota 1: notas cuando se usan sustantivos (y opcionalmente adjetivos) al llevarlos a plurar puede requerirse modificar la definición de la URI</t>
  </si>
  <si>
    <t>Root / Agregado</t>
  </si>
  <si>
    <t>Vehículo</t>
  </si>
  <si>
    <t>Solicitud</t>
  </si>
  <si>
    <t>Contrato</t>
  </si>
  <si>
    <t>Orden Venta</t>
  </si>
  <si>
    <t>eventId</t>
  </si>
  <si>
    <t>Repositorio</t>
  </si>
  <si>
    <t>repoId</t>
  </si>
  <si>
    <t>Repository</t>
  </si>
  <si>
    <t>Gestion Documentos</t>
  </si>
  <si>
    <t>Solicitudes Servicio</t>
  </si>
  <si>
    <t>Inventarios</t>
  </si>
  <si>
    <t>Version</t>
  </si>
  <si>
    <t>v2</t>
  </si>
  <si>
    <t>ruta,tecnico</t>
  </si>
  <si>
    <t>Consulta del detalle de la cita (OnLine)</t>
  </si>
  <si>
    <t>Cuestionario Inspeccion</t>
  </si>
  <si>
    <t>PRODUCTO:</t>
  </si>
  <si>
    <t>Gestión de Órdenes de Trabajo</t>
  </si>
  <si>
    <t>nombre</t>
  </si>
  <si>
    <t>Entidad</t>
  </si>
  <si>
    <t>Descripción</t>
  </si>
  <si>
    <t>Atributo</t>
  </si>
  <si>
    <t>Descripcion</t>
  </si>
  <si>
    <t>Dominio</t>
  </si>
  <si>
    <t>Ruta</t>
  </si>
  <si>
    <t>Almacén</t>
  </si>
  <si>
    <t>Técnico</t>
  </si>
  <si>
    <t>Taller</t>
  </si>
  <si>
    <t>Artículo</t>
  </si>
  <si>
    <t>Checklist de Inspección</t>
  </si>
  <si>
    <t>Aplicación de Checklist Inspección</t>
  </si>
  <si>
    <t>Documento PDF que se genera a partir de la aplicación del checklist de la inspección de entrada / salida de la unidad.</t>
  </si>
  <si>
    <t>Aplicación del Checklist de inspección de entrada / salida de la unidad a la atención de la cita.</t>
  </si>
  <si>
    <t>Unidad del cliente a atender como parte de la cita.</t>
  </si>
  <si>
    <t>Formato de checklist de inspección de las unidades a atender en las citas.</t>
  </si>
  <si>
    <t>Orden de Venta</t>
  </si>
  <si>
    <t>Orden de Venta para instalaciones y mantenimientos con costos.</t>
  </si>
  <si>
    <t>Cita programa para la atención de la unidad. Las citas pueden ser de instalación, mantenimiento o retiro. El conjunto de citas asignadas al técnico para una jornada define la base de las Órdenes de Trabajo del técnico asignado.</t>
  </si>
  <si>
    <t>Rutas asignadas a las citas externas programadas.</t>
  </si>
  <si>
    <t>Almacen donde se encuentran los artículos registrados y se encuentra asociado a las rutas.</t>
  </si>
  <si>
    <t>Colaborador al que se le asigna la atención de las citas.</t>
  </si>
  <si>
    <t>Taller donde se realizan las atenciones de las citas. Se encuentran vinculados a los almacenes.</t>
  </si>
  <si>
    <t>Artículo vinculado a las citas (pueden ser EQx, PTx, ACCx, BASx, FLOx, LICx)</t>
  </si>
  <si>
    <t>Solicitud de Servicio de Instalación, Mantenimiento o Retiro.</t>
  </si>
  <si>
    <t>Artículo dentro del catálogo de artículos en SAP</t>
  </si>
  <si>
    <t>+ Código
+ Nombre
+ Inventariable</t>
  </si>
  <si>
    <t>+ Código asignado al artículo en SAP
+ Nombre del artículo en SAP
+ Indicador de si es inventariable o no (tiene serie)</t>
  </si>
  <si>
    <t>Existencia del Artículo</t>
  </si>
  <si>
    <t>Existencia de un artículo en el inventario en SAP, ubicado en un determinado almacén. Aplica para todos los artículos inventariables y por ende cuenta con un número de serie.</t>
  </si>
  <si>
    <t>+ Serie
+ Almacén</t>
  </si>
  <si>
    <t>+ Número de Serie/OBC del artículo
+ IMEI (de aplicar)
+ Línea (de aplicar)
+ Operador (de aplicar)</t>
  </si>
  <si>
    <t>"Kit"</t>
  </si>
  <si>
    <t>Conjunto de accesorios designados para la atención de la cita.</t>
  </si>
  <si>
    <t>+ Código (QR, Barra?)
+ Vehículo/Cita</t>
  </si>
  <si>
    <t>+ Código de identificación del Kit (opciones. QR/Barra)
+ Asignación a Cita/Vehículo</t>
  </si>
  <si>
    <t>Check List Verificación Instalación</t>
  </si>
  <si>
    <t>Aplicación de Checklist de Verificación de Instalación</t>
  </si>
  <si>
    <t>Lista de verificación de la instalación realizada durante la atención realizada por el técnico.</t>
  </si>
  <si>
    <t>Contiene el resultado de la verificación del equipamiento instalado durante la atención de la cita. Se acopia el resultado en línea o ingreso manuel (a modo de contingencia)</t>
  </si>
  <si>
    <t>+ Concepto a verificar</t>
  </si>
  <si>
    <t>+ Indica del listado de verificaciones identificadas las que deben aplicar a la cita de acuerdo con los artículos instalados en la unidad.</t>
  </si>
  <si>
    <t>+ Concepto verificado
+ Resultado
+ Fecha/hora
+ Evidencia</t>
  </si>
  <si>
    <t>+ Concepto verificado
+ Resultado (Éxito/Falla) de la verificación
+ Registro de la fecha y hora
+ Evidencia del resultado (según aplique)</t>
  </si>
  <si>
    <t>+ Código
+ Nombre</t>
  </si>
  <si>
    <t>+Código del Almacén</t>
  </si>
  <si>
    <t>+ Código</t>
  </si>
  <si>
    <t>+ Código
+ Nombre
+ Almacén</t>
  </si>
  <si>
    <t>+ Código de la ruta
+ Nombre de la Ruta
+ Almacén asociado con la ruta</t>
  </si>
  <si>
    <t>+ Código del Técnico
+ Nombre del Técnico</t>
  </si>
  <si>
    <t>+ Código
+ Almacén</t>
  </si>
  <si>
    <t>+ Código del Taller
+ Código del almacén asociado</t>
  </si>
  <si>
    <t>+ Código
+ Nombre
+ Cantidad
+ Serie (OBC/Serie)
+ IMEI
+ Linea
+ Operador
+ Ubicación
+ Informe Técnico</t>
  </si>
  <si>
    <t>+ Código del artículo
+ Descripción del artículo
+ Cantidad
+ Serie (OBC/Serie) para EQx/PTx
+ IMEI de la tarjera para PTx 
+ Linea telefónica de la tarjeta (plan de datos)
+ Operador telefónico de la linea
+ Sitio de ubicación del GPS
+ Informe del Técnico</t>
  </si>
  <si>
    <t>+ Id
+ Número de Motor
+ Placa
+ Númer de Chasis</t>
  </si>
  <si>
    <t>+ Id
+ Número de Motor (verificar in situ)
+ Placa (opcional)
+ Número del  chasis (verificar in situ)</t>
  </si>
  <si>
    <t>+ Id
+ Versión
+ Items del checklist</t>
  </si>
  <si>
    <t>+ Id
+ Versión del checklist
+ Items del checklist a ser verificados</t>
  </si>
  <si>
    <t>+ Id de aplicación
+ Fecha/hora
+ Tipo de inspección
+ Respuesta de Ítemes
+ Firma Técnico/Asesor
+ Firma Cliente</t>
  </si>
  <si>
    <t>+ Identificador único de la aplicación del checklist
+ Fecha y hora del registro de la aplicación
+ Tipo de la inspección (Entrada / Salida)
+ Respuesta de cada ítemes (Si/No)
+ Imagen de Firma de Técnico o Asesor
+ Imagen de Firma del Cliente</t>
  </si>
  <si>
    <t>Usuario autenticado en la aplicación mobile que aplica el checklist de la inspección de la unidad del cliente. EL usuario puede ser el Técnico o Asesor.</t>
  </si>
  <si>
    <t>+ Id de Usuario
+ Nombre
+ IMEI del equipo</t>
  </si>
  <si>
    <t>+ Id de Usuario
+ Nombre
+ IMEI del equipo asignado al técnico/asesor</t>
  </si>
  <si>
    <t>+ Id
+ Contenido</t>
  </si>
  <si>
    <t>+ Identificador único generado
+ Contenido del documento</t>
  </si>
  <si>
    <t>+ Número
+ Estado
+ Listado de Artículos</t>
  </si>
  <si>
    <t>+ Número de la Orden de Venta en SAP
+ Estado de la OV
+ Listado de Artículos (código,nombre, cantidad y estado de la linea)</t>
  </si>
  <si>
    <t>+ Número
+ Fecha
+ Tipo de Servicio
+ OV asociada
+ Vehículo</t>
  </si>
  <si>
    <t>+ Número de identificación único de la solicitud
+ Fecha de recepción
+ Tipo de servicio requerido
+ Número de la OV asociada
+ Identificador del vehículos de la solicitud</t>
  </si>
  <si>
    <t>+ Fecha/Hora de Inicio
+ Fecha/Hora de Fin
+ Ubicación (Dirección)
+ Vehículo
+ Cliente
+ Estado</t>
  </si>
  <si>
    <t>+ Fecha y hora del inicio de la cita
+ Fecha y hora de finalización de la cita
+ Dirección donde se realizará la atención (externa)
+ Vehículo de la cita
+ Cliente propietario del vehículo
+ Estado de la Cita (se inicia con PROGRAMADA y al término de la atención queda en ATENDIDA)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</si>
</sst>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0" fillId="4" borderId="0" xfId="0" applyFill="1"/>
    <xf numFmtId="0" fontId="4" fillId="4" borderId="0" xfId="0" applyFont="1" applyFill="1"/>
    <xf numFmtId="0" fontId="0" fillId="3" borderId="1" xfId="0" applyFill="1" applyBorder="1" applyAlignment="1">
      <alignment wrapText="1"/>
    </xf>
    <xf numFmtId="0" fontId="3" fillId="3" borderId="0" xfId="0" applyFont="1" applyFill="1" applyAlignment="1">
      <alignment wrapText="1"/>
    </xf>
    <xf numFmtId="0" fontId="0" fillId="4" borderId="0" xfId="0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/>
    <xf numFmtId="0" fontId="6" fillId="5" borderId="0" xfId="0" applyFont="1" applyFill="1"/>
    <xf numFmtId="0" fontId="0" fillId="5" borderId="0" xfId="0" applyFill="1"/>
    <xf numFmtId="0" fontId="1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0" xfId="0" applyFont="1" applyFill="1"/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quotePrefix="1" applyFill="1" applyAlignment="1">
      <alignment horizontal="left" vertical="center" wrapText="1"/>
    </xf>
    <xf numFmtId="0" fontId="3" fillId="6" borderId="1" xfId="0" applyFont="1" applyFill="1" applyBorder="1"/>
    <xf numFmtId="0" fontId="3" fillId="7" borderId="1" xfId="0" applyFont="1" applyFill="1" applyBorder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7063-9778-4F26-A0E3-42E3C93FDC73}">
  <dimension ref="B1:U37"/>
  <sheetViews>
    <sheetView topLeftCell="A10" workbookViewId="0">
      <selection activeCell="L24" sqref="L24:L29"/>
    </sheetView>
  </sheetViews>
  <sheetFormatPr baseColWidth="10" defaultColWidth="8.7265625" defaultRowHeight="14.5" x14ac:dyDescent="0.35"/>
  <cols>
    <col min="1" max="1" width="1.81640625" style="1" customWidth="1"/>
    <col min="2" max="2" width="0.453125" style="1" customWidth="1"/>
    <col min="3" max="3" width="18.26953125" style="1" customWidth="1"/>
    <col min="4" max="4" width="13.54296875" style="1" customWidth="1"/>
    <col min="5" max="5" width="8.90625" style="1" customWidth="1"/>
    <col min="6" max="6" width="17.6328125" style="1" customWidth="1"/>
    <col min="7" max="7" width="8.90625" style="1" customWidth="1"/>
    <col min="8" max="8" width="17.6328125" style="1" customWidth="1"/>
    <col min="9" max="9" width="8.90625" style="1" customWidth="1"/>
    <col min="10" max="10" width="17.6328125" style="1" customWidth="1"/>
    <col min="11" max="11" width="10.26953125" style="3" customWidth="1"/>
    <col min="12" max="12" width="48.6328125" style="1" customWidth="1"/>
    <col min="13" max="13" width="56.54296875" style="2" customWidth="1"/>
    <col min="14" max="14" width="0.453125" style="1" customWidth="1"/>
    <col min="15" max="17" width="6.81640625" style="3" customWidth="1"/>
    <col min="18" max="19" width="7" style="3" customWidth="1"/>
    <col min="20" max="20" width="6.81640625" style="3" customWidth="1"/>
    <col min="21" max="21" width="0.453125" style="1" customWidth="1"/>
    <col min="22" max="16384" width="8.7265625" style="1"/>
  </cols>
  <sheetData>
    <row r="1" spans="2:21" ht="39" customHeight="1" x14ac:dyDescent="0.45">
      <c r="C1" s="36" t="s">
        <v>52</v>
      </c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2:21" x14ac:dyDescent="0.35">
      <c r="C3" s="22" t="s">
        <v>113</v>
      </c>
      <c r="D3" s="28" t="s">
        <v>29</v>
      </c>
    </row>
    <row r="4" spans="2:21" x14ac:dyDescent="0.35">
      <c r="C4" s="22" t="s">
        <v>70</v>
      </c>
      <c r="D4" s="28" t="s">
        <v>114</v>
      </c>
    </row>
    <row r="5" spans="2:21" x14ac:dyDescent="0.35">
      <c r="O5" s="38" t="s">
        <v>53</v>
      </c>
      <c r="P5" s="38"/>
      <c r="Q5" s="38"/>
      <c r="R5" s="38"/>
      <c r="S5" s="38"/>
      <c r="T5" s="38"/>
    </row>
    <row r="6" spans="2:21" ht="22" customHeight="1" x14ac:dyDescent="0.35">
      <c r="B6" s="11"/>
      <c r="C6" s="4" t="s">
        <v>0</v>
      </c>
      <c r="D6" s="4" t="s">
        <v>1</v>
      </c>
      <c r="E6" s="4" t="s">
        <v>60</v>
      </c>
      <c r="F6" s="4" t="s">
        <v>2</v>
      </c>
      <c r="G6" s="4" t="s">
        <v>60</v>
      </c>
      <c r="H6" s="4" t="s">
        <v>2</v>
      </c>
      <c r="I6" s="4" t="s">
        <v>60</v>
      </c>
      <c r="J6" s="4" t="s">
        <v>58</v>
      </c>
      <c r="K6" s="5" t="s">
        <v>3</v>
      </c>
      <c r="L6" s="4" t="s">
        <v>4</v>
      </c>
      <c r="M6" s="6" t="s">
        <v>5</v>
      </c>
      <c r="N6" s="11"/>
      <c r="O6" s="7" t="s">
        <v>29</v>
      </c>
      <c r="P6" s="7" t="s">
        <v>30</v>
      </c>
      <c r="Q6" s="7" t="s">
        <v>50</v>
      </c>
      <c r="R6" s="7" t="s">
        <v>56</v>
      </c>
      <c r="S6" s="7" t="s">
        <v>57</v>
      </c>
      <c r="T6" s="7" t="s">
        <v>51</v>
      </c>
      <c r="U6" s="11"/>
    </row>
    <row r="7" spans="2:21" x14ac:dyDescent="0.35">
      <c r="B7" s="12"/>
      <c r="C7" s="8" t="s">
        <v>12</v>
      </c>
      <c r="D7" s="8" t="s">
        <v>10</v>
      </c>
      <c r="E7" s="8"/>
      <c r="F7" s="8"/>
      <c r="G7" s="8"/>
      <c r="H7" s="8"/>
      <c r="I7" s="8"/>
      <c r="J7" s="8" t="s">
        <v>110</v>
      </c>
      <c r="K7" s="9" t="s">
        <v>13</v>
      </c>
      <c r="L7" s="8" t="str">
        <f>_xlfn.CONCAT(SUBSTITUTE(CLEAN(TRIM(LOWER(_xlfn.CONCAT(C7,"/api/v1/",_xlfn.CONCAT(D7,IF(RIGHT(D7,1)="s","","s")),IF(E7="","",_xlfn.CONCAT("/:",E7)),IF(F7="","",_xlfn.CONCAT("/",_xlfn.CONCAT(F7,IF(RIGHT(F7,1)="s","","s")),IF(G7="","",_xlfn.CONCAT("/:",G7)),IF(H7="","",_xlfn.CONCAT(_xlfn.CONCAT("/",_xlfn.CONCAT(H7,IF(RIGHT(H7,1)="s","","s"))),IF(I7="","",_xlfn.CONCAT("/:",I7))))))))))," ",""),IF(J7="","",_xlfn.CONCAT("?",_xlfn.CONCAT(SUBSTITUTE(J7,",","=&amp;"),"="))))</f>
        <v>citas/api/v1/citas?ruta=&amp;tecnico=</v>
      </c>
      <c r="M7" s="10" t="s">
        <v>6</v>
      </c>
      <c r="N7" s="12"/>
      <c r="O7" s="20" t="s">
        <v>32</v>
      </c>
      <c r="P7" s="20"/>
      <c r="Q7" s="20"/>
      <c r="R7" s="20"/>
      <c r="S7" s="20"/>
      <c r="T7" s="20"/>
      <c r="U7" s="12"/>
    </row>
    <row r="8" spans="2:21" x14ac:dyDescent="0.35">
      <c r="B8" s="12"/>
      <c r="C8" s="8" t="s">
        <v>12</v>
      </c>
      <c r="D8" s="8" t="s">
        <v>10</v>
      </c>
      <c r="E8" s="8" t="s">
        <v>61</v>
      </c>
      <c r="F8" s="8" t="s">
        <v>19</v>
      </c>
      <c r="G8" s="8"/>
      <c r="H8" s="8"/>
      <c r="I8" s="8"/>
      <c r="J8" s="8"/>
      <c r="K8" s="9" t="s">
        <v>14</v>
      </c>
      <c r="L8" s="8" t="str">
        <f t="shared" ref="L8:L29" si="0">_xlfn.CONCAT(SUBSTITUTE(CLEAN(TRIM(LOWER(_xlfn.CONCAT(C8,"/api/v1/",_xlfn.CONCAT(D8,IF(RIGHT(D8,1)="s","","s")),IF(E8="","",_xlfn.CONCAT("/:",E8)),IF(F8="","",_xlfn.CONCAT("/",_xlfn.CONCAT(F8,IF(RIGHT(F8,1)="s","","s")),IF(G8="","",_xlfn.CONCAT("/:",G8)),IF(H8="","",_xlfn.CONCAT(_xlfn.CONCAT("/",_xlfn.CONCAT(H8,IF(RIGHT(H8,1)="s","","s"))),IF(I8="","",_xlfn.CONCAT("/:",I8))))))))))," ",""),IF(J8="","",_xlfn.CONCAT("?",_xlfn.CONCAT(SUBSTITUTE(J8,",","=&amp;"),"="))))</f>
        <v>citas/api/v1/citas/:citaid/documentos</v>
      </c>
      <c r="M8" s="10" t="s">
        <v>33</v>
      </c>
      <c r="N8" s="12"/>
      <c r="O8" s="20" t="s">
        <v>32</v>
      </c>
      <c r="P8" s="20"/>
      <c r="Q8" s="20"/>
      <c r="R8" s="20"/>
      <c r="S8" s="20"/>
      <c r="T8" s="20"/>
      <c r="U8" s="12"/>
    </row>
    <row r="9" spans="2:21" x14ac:dyDescent="0.35">
      <c r="B9" s="12"/>
      <c r="C9" s="8" t="s">
        <v>12</v>
      </c>
      <c r="D9" s="8" t="s">
        <v>10</v>
      </c>
      <c r="E9" s="8" t="s">
        <v>61</v>
      </c>
      <c r="F9" s="8" t="s">
        <v>9</v>
      </c>
      <c r="G9" s="8"/>
      <c r="H9" s="8"/>
      <c r="I9" s="8"/>
      <c r="J9" s="8"/>
      <c r="K9" s="9" t="s">
        <v>13</v>
      </c>
      <c r="L9" s="35" t="str">
        <f t="shared" si="0"/>
        <v>citas/api/v1/citas/:citaid/vehiculos</v>
      </c>
      <c r="M9" s="10" t="s">
        <v>49</v>
      </c>
      <c r="N9" s="12"/>
      <c r="O9" s="20" t="s">
        <v>32</v>
      </c>
      <c r="P9" s="20"/>
      <c r="Q9" s="20"/>
      <c r="R9" s="20"/>
      <c r="S9" s="20"/>
      <c r="T9" s="20"/>
      <c r="U9" s="12"/>
    </row>
    <row r="10" spans="2:21" x14ac:dyDescent="0.35">
      <c r="B10" s="12"/>
      <c r="C10" s="8" t="s">
        <v>12</v>
      </c>
      <c r="D10" s="8" t="s">
        <v>10</v>
      </c>
      <c r="E10" s="8" t="s">
        <v>61</v>
      </c>
      <c r="F10" s="8" t="s">
        <v>64</v>
      </c>
      <c r="G10" s="8"/>
      <c r="H10" s="8"/>
      <c r="I10" s="8"/>
      <c r="J10" s="8"/>
      <c r="K10" s="9" t="s">
        <v>22</v>
      </c>
      <c r="L10" s="8" t="str">
        <f t="shared" si="0"/>
        <v>citas/api/v1/citas/:citaid/atencions</v>
      </c>
      <c r="M10" s="10" t="s">
        <v>36</v>
      </c>
      <c r="N10" s="12"/>
      <c r="O10" s="20" t="s">
        <v>32</v>
      </c>
      <c r="P10" s="20"/>
      <c r="Q10" s="20"/>
      <c r="R10" s="20"/>
      <c r="S10" s="20"/>
      <c r="T10" s="20"/>
      <c r="U10" s="12"/>
    </row>
    <row r="11" spans="2:21" x14ac:dyDescent="0.35">
      <c r="B11" s="12"/>
      <c r="C11" s="8" t="s">
        <v>12</v>
      </c>
      <c r="D11" s="8" t="s">
        <v>10</v>
      </c>
      <c r="E11" s="8" t="s">
        <v>61</v>
      </c>
      <c r="F11" s="8"/>
      <c r="G11" s="8"/>
      <c r="H11" s="8"/>
      <c r="I11" s="8"/>
      <c r="J11" s="8"/>
      <c r="K11" s="9" t="s">
        <v>13</v>
      </c>
      <c r="L11" s="34" t="str">
        <f t="shared" si="0"/>
        <v>citas/api/v1/citas/:citaid</v>
      </c>
      <c r="M11" s="10" t="s">
        <v>111</v>
      </c>
      <c r="N11" s="12"/>
      <c r="O11" s="20" t="s">
        <v>32</v>
      </c>
      <c r="P11" s="20"/>
      <c r="Q11" s="20"/>
      <c r="R11" s="20"/>
      <c r="S11" s="20"/>
      <c r="T11" s="20"/>
      <c r="U11" s="12"/>
    </row>
    <row r="12" spans="2:21" x14ac:dyDescent="0.35">
      <c r="B12" s="12"/>
      <c r="C12" s="8" t="s">
        <v>12</v>
      </c>
      <c r="D12" s="8" t="s">
        <v>10</v>
      </c>
      <c r="E12" s="8" t="s">
        <v>61</v>
      </c>
      <c r="F12" s="8" t="s">
        <v>35</v>
      </c>
      <c r="G12" s="8"/>
      <c r="H12" s="8"/>
      <c r="I12" s="8"/>
      <c r="J12" s="8"/>
      <c r="K12" s="9" t="s">
        <v>14</v>
      </c>
      <c r="L12" s="8" t="str">
        <f t="shared" si="0"/>
        <v>citas/api/v1/citas/:citaid/inspeccions</v>
      </c>
      <c r="M12" s="10" t="s">
        <v>34</v>
      </c>
      <c r="N12" s="12"/>
      <c r="O12" s="20" t="s">
        <v>32</v>
      </c>
      <c r="P12" s="20"/>
      <c r="Q12" s="20"/>
      <c r="R12" s="20"/>
      <c r="S12" s="20"/>
      <c r="T12" s="20"/>
      <c r="U12" s="12"/>
    </row>
    <row r="13" spans="2:21" x14ac:dyDescent="0.35">
      <c r="B13" s="12"/>
      <c r="C13" s="8" t="s">
        <v>12</v>
      </c>
      <c r="D13" s="8" t="s">
        <v>10</v>
      </c>
      <c r="E13" s="8" t="s">
        <v>61</v>
      </c>
      <c r="F13" s="8" t="s">
        <v>39</v>
      </c>
      <c r="G13" s="8"/>
      <c r="H13" s="8"/>
      <c r="I13" s="8"/>
      <c r="J13" s="8"/>
      <c r="K13" s="9" t="s">
        <v>14</v>
      </c>
      <c r="L13" s="8" t="str">
        <f t="shared" si="0"/>
        <v>citas/api/v1/citas/:citaid/solicitudcambios</v>
      </c>
      <c r="M13" s="10" t="s">
        <v>41</v>
      </c>
      <c r="N13" s="12"/>
      <c r="O13" s="20" t="s">
        <v>32</v>
      </c>
      <c r="P13" s="20"/>
      <c r="Q13" s="20"/>
      <c r="R13" s="20"/>
      <c r="S13" s="20"/>
      <c r="T13" s="20"/>
      <c r="U13" s="12"/>
    </row>
    <row r="14" spans="2:21" x14ac:dyDescent="0.35">
      <c r="B14" s="12"/>
      <c r="C14" s="8" t="s">
        <v>12</v>
      </c>
      <c r="D14" s="8" t="s">
        <v>10</v>
      </c>
      <c r="E14" s="8" t="s">
        <v>61</v>
      </c>
      <c r="F14" s="8" t="s">
        <v>39</v>
      </c>
      <c r="G14" s="8"/>
      <c r="H14" s="8"/>
      <c r="I14" s="8"/>
      <c r="J14" s="8"/>
      <c r="K14" s="9" t="s">
        <v>13</v>
      </c>
      <c r="L14" s="8" t="str">
        <f t="shared" si="0"/>
        <v>citas/api/v1/citas/:citaid/solicitudcambios</v>
      </c>
      <c r="M14" s="10" t="s">
        <v>40</v>
      </c>
      <c r="N14" s="12"/>
      <c r="O14" s="20" t="s">
        <v>32</v>
      </c>
      <c r="P14" s="20"/>
      <c r="Q14" s="20"/>
      <c r="R14" s="20"/>
      <c r="S14" s="20"/>
      <c r="T14" s="20"/>
      <c r="U14" s="12"/>
    </row>
    <row r="15" spans="2:21" x14ac:dyDescent="0.35">
      <c r="B15" s="12"/>
      <c r="C15" s="8" t="s">
        <v>12</v>
      </c>
      <c r="D15" s="8" t="s">
        <v>10</v>
      </c>
      <c r="E15" s="8" t="s">
        <v>61</v>
      </c>
      <c r="F15" s="8" t="s">
        <v>39</v>
      </c>
      <c r="G15" s="8"/>
      <c r="H15" s="8"/>
      <c r="I15" s="8"/>
      <c r="J15" s="8"/>
      <c r="K15" s="9" t="s">
        <v>22</v>
      </c>
      <c r="L15" s="8" t="str">
        <f t="shared" si="0"/>
        <v>citas/api/v1/citas/:citaid/solicitudcambios</v>
      </c>
      <c r="M15" s="10" t="s">
        <v>42</v>
      </c>
      <c r="N15" s="12"/>
      <c r="O15" s="20" t="s">
        <v>32</v>
      </c>
      <c r="P15" s="20"/>
      <c r="Q15" s="20"/>
      <c r="R15" s="20"/>
      <c r="S15" s="20"/>
      <c r="T15" s="20"/>
      <c r="U15" s="12"/>
    </row>
    <row r="16" spans="2:21" x14ac:dyDescent="0.35">
      <c r="B16" s="12"/>
      <c r="C16" s="8" t="s">
        <v>12</v>
      </c>
      <c r="D16" s="8" t="s">
        <v>10</v>
      </c>
      <c r="E16" s="8" t="s">
        <v>61</v>
      </c>
      <c r="F16" s="8" t="s">
        <v>44</v>
      </c>
      <c r="G16" s="8"/>
      <c r="H16" s="8"/>
      <c r="I16" s="8"/>
      <c r="J16" s="8"/>
      <c r="K16" s="9" t="s">
        <v>14</v>
      </c>
      <c r="L16" s="8" t="str">
        <f t="shared" si="0"/>
        <v>citas/api/v1/citas/:citaid/alertas</v>
      </c>
      <c r="M16" s="10" t="s">
        <v>43</v>
      </c>
      <c r="N16" s="12"/>
      <c r="O16" s="20" t="s">
        <v>32</v>
      </c>
      <c r="P16" s="20"/>
      <c r="Q16" s="20"/>
      <c r="R16" s="20"/>
      <c r="S16" s="20"/>
      <c r="T16" s="20"/>
      <c r="U16" s="12"/>
    </row>
    <row r="17" spans="2:21" x14ac:dyDescent="0.35">
      <c r="B17" s="12"/>
      <c r="C17" s="8" t="s">
        <v>12</v>
      </c>
      <c r="D17" s="8" t="s">
        <v>10</v>
      </c>
      <c r="E17" s="8" t="s">
        <v>61</v>
      </c>
      <c r="F17" s="8" t="s">
        <v>24</v>
      </c>
      <c r="G17" s="8"/>
      <c r="H17" s="8"/>
      <c r="I17" s="8"/>
      <c r="J17" s="8"/>
      <c r="K17" s="9" t="s">
        <v>22</v>
      </c>
      <c r="L17" s="8" t="str">
        <f t="shared" si="0"/>
        <v>citas/api/v1/citas/:citaid/articulos</v>
      </c>
      <c r="M17" s="13" t="s">
        <v>45</v>
      </c>
      <c r="N17" s="11"/>
      <c r="O17" s="20" t="s">
        <v>32</v>
      </c>
      <c r="P17" s="21"/>
      <c r="Q17" s="20"/>
      <c r="R17" s="20"/>
      <c r="S17" s="20"/>
      <c r="T17" s="21"/>
      <c r="U17" s="12"/>
    </row>
    <row r="18" spans="2:21" x14ac:dyDescent="0.35">
      <c r="B18" s="12"/>
      <c r="C18" s="8" t="s">
        <v>12</v>
      </c>
      <c r="D18" s="8" t="s">
        <v>10</v>
      </c>
      <c r="E18" s="8" t="s">
        <v>61</v>
      </c>
      <c r="F18" s="8" t="s">
        <v>25</v>
      </c>
      <c r="G18" s="8"/>
      <c r="H18" s="8"/>
      <c r="I18" s="8"/>
      <c r="J18" s="8"/>
      <c r="K18" s="9" t="s">
        <v>22</v>
      </c>
      <c r="L18" s="8" t="str">
        <f t="shared" si="0"/>
        <v>citas/api/v1/citas/:citaid/asignacions</v>
      </c>
      <c r="M18" s="13" t="s">
        <v>46</v>
      </c>
      <c r="N18" s="11"/>
      <c r="O18" s="20" t="s">
        <v>32</v>
      </c>
      <c r="P18" s="21"/>
      <c r="Q18" s="20"/>
      <c r="R18" s="20"/>
      <c r="S18" s="20"/>
      <c r="T18" s="21"/>
      <c r="U18" s="12"/>
    </row>
    <row r="19" spans="2:21" x14ac:dyDescent="0.35">
      <c r="B19" s="12"/>
      <c r="C19" s="8" t="s">
        <v>12</v>
      </c>
      <c r="D19" s="8" t="s">
        <v>112</v>
      </c>
      <c r="E19" s="8"/>
      <c r="F19" s="8"/>
      <c r="G19" s="8"/>
      <c r="H19" s="8"/>
      <c r="I19" s="8"/>
      <c r="J19" s="8"/>
      <c r="K19" s="9" t="s">
        <v>22</v>
      </c>
      <c r="L19" s="8" t="str">
        <f t="shared" si="0"/>
        <v>citas/api/v1/cuestionarioinspeccions</v>
      </c>
      <c r="M19" s="13" t="s">
        <v>47</v>
      </c>
      <c r="N19" s="11"/>
      <c r="O19" s="20" t="s">
        <v>32</v>
      </c>
      <c r="P19" s="20"/>
      <c r="Q19" s="20"/>
      <c r="R19" s="20"/>
      <c r="S19" s="20"/>
      <c r="T19" s="20"/>
      <c r="U19" s="12"/>
    </row>
    <row r="20" spans="2:21" x14ac:dyDescent="0.35">
      <c r="B20" s="12"/>
      <c r="C20" s="8" t="s">
        <v>12</v>
      </c>
      <c r="D20" s="8" t="s">
        <v>28</v>
      </c>
      <c r="E20" s="8"/>
      <c r="F20" s="8"/>
      <c r="G20" s="8"/>
      <c r="H20" s="8"/>
      <c r="I20" s="8"/>
      <c r="J20" s="8" t="s">
        <v>115</v>
      </c>
      <c r="K20" s="9" t="s">
        <v>13</v>
      </c>
      <c r="L20" s="8" t="str">
        <f t="shared" si="0"/>
        <v>citas/api/v1/tecnicos?nombre=</v>
      </c>
      <c r="M20" s="10" t="s">
        <v>27</v>
      </c>
      <c r="N20" s="12"/>
      <c r="O20" s="20" t="s">
        <v>32</v>
      </c>
      <c r="P20" s="20"/>
      <c r="Q20" s="20"/>
      <c r="R20" s="20"/>
      <c r="S20" s="20"/>
      <c r="T20" s="20"/>
      <c r="U20" s="12"/>
    </row>
    <row r="21" spans="2:21" x14ac:dyDescent="0.35">
      <c r="B21" s="12"/>
      <c r="C21" s="8" t="s">
        <v>107</v>
      </c>
      <c r="D21" s="8" t="s">
        <v>25</v>
      </c>
      <c r="E21" s="8"/>
      <c r="F21" s="8"/>
      <c r="G21" s="8"/>
      <c r="H21" s="8"/>
      <c r="I21" s="8"/>
      <c r="J21" s="8"/>
      <c r="K21" s="9" t="s">
        <v>14</v>
      </c>
      <c r="L21" s="8" t="str">
        <f t="shared" si="0"/>
        <v>inventarios/api/v1/asignacions</v>
      </c>
      <c r="M21" s="10" t="s">
        <v>23</v>
      </c>
      <c r="N21" s="12"/>
      <c r="O21" s="20" t="s">
        <v>32</v>
      </c>
      <c r="P21" s="20"/>
      <c r="Q21" s="20"/>
      <c r="R21" s="20"/>
      <c r="S21" s="20"/>
      <c r="T21" s="20"/>
      <c r="U21" s="12"/>
    </row>
    <row r="22" spans="2:21" x14ac:dyDescent="0.35">
      <c r="B22" s="12"/>
      <c r="C22" s="8" t="s">
        <v>107</v>
      </c>
      <c r="D22" s="8" t="s">
        <v>25</v>
      </c>
      <c r="E22" s="8" t="s">
        <v>59</v>
      </c>
      <c r="F22" s="8"/>
      <c r="G22" s="8"/>
      <c r="H22" s="8"/>
      <c r="I22" s="8"/>
      <c r="J22" s="8"/>
      <c r="K22" s="9" t="s">
        <v>22</v>
      </c>
      <c r="L22" s="8" t="str">
        <f t="shared" si="0"/>
        <v>inventarios/api/v1/asignacions/:id</v>
      </c>
      <c r="M22" s="10" t="s">
        <v>31</v>
      </c>
      <c r="N22" s="12"/>
      <c r="O22" s="20" t="s">
        <v>32</v>
      </c>
      <c r="P22" s="20"/>
      <c r="Q22" s="20"/>
      <c r="R22" s="20"/>
      <c r="S22" s="20"/>
      <c r="T22" s="20"/>
      <c r="U22" s="12"/>
    </row>
    <row r="23" spans="2:21" x14ac:dyDescent="0.35">
      <c r="B23" s="11"/>
      <c r="C23" s="8" t="s">
        <v>17</v>
      </c>
      <c r="D23" s="8" t="s">
        <v>16</v>
      </c>
      <c r="E23" s="8" t="s">
        <v>62</v>
      </c>
      <c r="F23" s="8" t="s">
        <v>18</v>
      </c>
      <c r="G23" s="8"/>
      <c r="H23" s="8"/>
      <c r="I23" s="8"/>
      <c r="J23" s="8"/>
      <c r="K23" s="9" t="s">
        <v>14</v>
      </c>
      <c r="L23" s="8" t="str">
        <f t="shared" si="0"/>
        <v>seguridad/api/v1/usuarios/:login/sessions</v>
      </c>
      <c r="M23" s="14" t="s">
        <v>15</v>
      </c>
      <c r="N23" s="12"/>
      <c r="O23" s="20" t="s">
        <v>32</v>
      </c>
      <c r="P23" s="20"/>
      <c r="Q23" s="20"/>
      <c r="R23" s="20"/>
      <c r="S23" s="20"/>
      <c r="T23" s="20"/>
      <c r="U23" s="12"/>
    </row>
    <row r="24" spans="2:21" x14ac:dyDescent="0.35">
      <c r="B24" s="11"/>
      <c r="C24" s="16" t="s">
        <v>11</v>
      </c>
      <c r="D24" s="16" t="s">
        <v>104</v>
      </c>
      <c r="E24" s="16" t="s">
        <v>103</v>
      </c>
      <c r="F24" s="16" t="s">
        <v>19</v>
      </c>
      <c r="G24" s="16"/>
      <c r="H24" s="16"/>
      <c r="I24" s="16"/>
      <c r="J24" s="16"/>
      <c r="K24" s="9" t="s">
        <v>14</v>
      </c>
      <c r="L24" s="8" t="str">
        <f t="shared" si="0"/>
        <v>vehiculos/api/v1/repositorys/:repoid/documentos</v>
      </c>
      <c r="M24" s="18" t="s">
        <v>54</v>
      </c>
      <c r="N24" s="17" t="s">
        <v>55</v>
      </c>
      <c r="O24" s="20"/>
      <c r="P24" s="20"/>
      <c r="Q24" s="20"/>
      <c r="R24" s="20" t="s">
        <v>32</v>
      </c>
      <c r="S24" s="20" t="s">
        <v>32</v>
      </c>
      <c r="T24" s="20"/>
      <c r="U24" s="15"/>
    </row>
    <row r="25" spans="2:21" x14ac:dyDescent="0.35">
      <c r="B25" s="11"/>
      <c r="C25" s="8" t="s">
        <v>11</v>
      </c>
      <c r="D25" s="8" t="s">
        <v>9</v>
      </c>
      <c r="E25" s="8"/>
      <c r="F25" s="8"/>
      <c r="G25" s="8"/>
      <c r="H25" s="8"/>
      <c r="I25" s="8"/>
      <c r="J25" s="8"/>
      <c r="K25" s="9" t="s">
        <v>13</v>
      </c>
      <c r="L25" s="8" t="str">
        <f t="shared" si="0"/>
        <v>vehiculos/api/v1/vehiculos</v>
      </c>
      <c r="M25" s="14" t="s">
        <v>7</v>
      </c>
      <c r="N25" s="12"/>
      <c r="O25" s="20"/>
      <c r="P25" s="20" t="s">
        <v>32</v>
      </c>
      <c r="Q25" s="20"/>
      <c r="R25" s="20"/>
      <c r="S25" s="20"/>
      <c r="T25" s="20"/>
      <c r="U25" s="12"/>
    </row>
    <row r="26" spans="2:21" s="19" customFormat="1" ht="14.5" customHeight="1" x14ac:dyDescent="0.3">
      <c r="B26" s="15"/>
      <c r="C26" s="8" t="s">
        <v>11</v>
      </c>
      <c r="D26" s="8" t="s">
        <v>9</v>
      </c>
      <c r="E26" s="8" t="s">
        <v>59</v>
      </c>
      <c r="F26" s="8"/>
      <c r="G26" s="8"/>
      <c r="H26" s="8"/>
      <c r="I26" s="8"/>
      <c r="J26" s="8"/>
      <c r="K26" s="9" t="s">
        <v>13</v>
      </c>
      <c r="L26" s="8" t="str">
        <f t="shared" si="0"/>
        <v>vehiculos/api/v1/vehiculos/:id</v>
      </c>
      <c r="M26" s="14" t="s">
        <v>8</v>
      </c>
      <c r="N26" s="12"/>
      <c r="O26" s="20" t="s">
        <v>32</v>
      </c>
      <c r="P26" s="20"/>
      <c r="Q26" s="20"/>
      <c r="R26" s="20"/>
      <c r="S26" s="20"/>
      <c r="T26" s="20"/>
      <c r="U26" s="12"/>
    </row>
    <row r="27" spans="2:21" s="19" customFormat="1" ht="14.5" customHeight="1" x14ac:dyDescent="0.35">
      <c r="B27" s="15"/>
      <c r="C27" s="8" t="s">
        <v>11</v>
      </c>
      <c r="D27" s="8" t="s">
        <v>9</v>
      </c>
      <c r="E27" s="8" t="s">
        <v>59</v>
      </c>
      <c r="F27" s="8" t="s">
        <v>19</v>
      </c>
      <c r="G27" s="8"/>
      <c r="H27" s="8"/>
      <c r="I27" s="8"/>
      <c r="J27" s="8"/>
      <c r="K27" s="9" t="s">
        <v>14</v>
      </c>
      <c r="L27" s="8" t="str">
        <f t="shared" si="0"/>
        <v>vehiculos/api/v1/vehiculos/:id/documentos</v>
      </c>
      <c r="M27" s="14" t="s">
        <v>48</v>
      </c>
      <c r="N27" s="12"/>
      <c r="O27" s="20" t="s">
        <v>32</v>
      </c>
      <c r="P27" s="20"/>
      <c r="Q27" s="20"/>
      <c r="R27" s="20"/>
      <c r="S27" s="20"/>
      <c r="T27" s="20"/>
      <c r="U27" s="11"/>
    </row>
    <row r="28" spans="2:21" s="19" customFormat="1" ht="14.5" customHeight="1" x14ac:dyDescent="0.35">
      <c r="B28" s="15"/>
      <c r="C28" s="8" t="s">
        <v>11</v>
      </c>
      <c r="D28" s="8" t="s">
        <v>9</v>
      </c>
      <c r="E28" s="8" t="s">
        <v>59</v>
      </c>
      <c r="F28" s="8" t="s">
        <v>21</v>
      </c>
      <c r="G28" s="8"/>
      <c r="H28" s="8"/>
      <c r="I28" s="8"/>
      <c r="J28" s="8"/>
      <c r="K28" s="9" t="s">
        <v>13</v>
      </c>
      <c r="L28" s="8" t="str">
        <f t="shared" si="0"/>
        <v>vehiculos/api/v1/vehiculos/:id/posicions</v>
      </c>
      <c r="M28" s="14" t="s">
        <v>20</v>
      </c>
      <c r="N28" s="12"/>
      <c r="O28" s="20" t="s">
        <v>32</v>
      </c>
      <c r="P28" s="20" t="s">
        <v>32</v>
      </c>
      <c r="Q28" s="20"/>
      <c r="R28" s="20"/>
      <c r="S28" s="20"/>
      <c r="T28" s="20"/>
      <c r="U28" s="11"/>
    </row>
    <row r="29" spans="2:21" s="19" customFormat="1" ht="14.5" customHeight="1" x14ac:dyDescent="0.35">
      <c r="B29" s="15"/>
      <c r="C29" s="8" t="s">
        <v>11</v>
      </c>
      <c r="D29" s="8" t="s">
        <v>9</v>
      </c>
      <c r="E29" s="8" t="s">
        <v>59</v>
      </c>
      <c r="F29" s="8" t="s">
        <v>37</v>
      </c>
      <c r="G29" s="8" t="s">
        <v>101</v>
      </c>
      <c r="H29" s="8"/>
      <c r="I29" s="8"/>
      <c r="J29" s="8"/>
      <c r="K29" s="9" t="s">
        <v>13</v>
      </c>
      <c r="L29" s="8" t="str">
        <f t="shared" si="0"/>
        <v>vehiculos/api/v1/vehiculos/:id/eventos/:eventid</v>
      </c>
      <c r="M29" s="14" t="s">
        <v>38</v>
      </c>
      <c r="N29" s="12"/>
      <c r="O29" s="20"/>
      <c r="P29" s="20" t="s">
        <v>32</v>
      </c>
      <c r="Q29" s="20"/>
      <c r="R29" s="20"/>
      <c r="S29" s="20"/>
      <c r="T29" s="20"/>
      <c r="U29" s="11"/>
    </row>
    <row r="31" spans="2:21" x14ac:dyDescent="0.35">
      <c r="C31" s="23" t="s">
        <v>67</v>
      </c>
      <c r="D31" s="24"/>
      <c r="E31" s="24"/>
      <c r="F31" s="24"/>
      <c r="G31" s="24"/>
      <c r="H31" s="24"/>
      <c r="I31" s="24"/>
      <c r="J31" s="24"/>
    </row>
    <row r="32" spans="2:21" x14ac:dyDescent="0.35">
      <c r="C32" s="1" t="s">
        <v>66</v>
      </c>
    </row>
    <row r="33" spans="3:3" x14ac:dyDescent="0.35">
      <c r="C33" s="1" t="s">
        <v>65</v>
      </c>
    </row>
    <row r="34" spans="3:3" x14ac:dyDescent="0.35">
      <c r="C34" s="1" t="s">
        <v>68</v>
      </c>
    </row>
    <row r="35" spans="3:3" x14ac:dyDescent="0.35">
      <c r="C35" s="1" t="s">
        <v>69</v>
      </c>
    </row>
    <row r="37" spans="3:3" x14ac:dyDescent="0.35">
      <c r="C37" s="1" t="s">
        <v>95</v>
      </c>
    </row>
  </sheetData>
  <sortState ref="C7:U29">
    <sortCondition ref="C7:C29"/>
    <sortCondition ref="D7:D29"/>
  </sortState>
  <mergeCells count="2">
    <mergeCell ref="C1:M1"/>
    <mergeCell ref="O5:T5"/>
  </mergeCells>
  <conditionalFormatting sqref="K7:K29">
    <cfRule type="cellIs" dxfId="3" priority="1" operator="equal">
      <formula>"PUT"</formula>
    </cfRule>
    <cfRule type="cellIs" dxfId="2" priority="2" operator="equal">
      <formula>"DELETE"</formula>
    </cfRule>
    <cfRule type="cellIs" dxfId="1" priority="3" operator="equal">
      <formula>"POST"</formula>
    </cfRule>
    <cfRule type="cellIs" dxfId="0" priority="4" operator="equal">
      <formula>"GET"</formula>
    </cfRule>
  </conditionalFormatting>
  <dataValidations count="1">
    <dataValidation type="list" allowBlank="1" showInputMessage="1" showErrorMessage="1" sqref="C7:C29" xr:uid="{4BC69269-CC02-4845-9A30-134AA86D9E5C}">
      <formula1>DOMINIOS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678C-5DD7-43E5-9630-A85E51B14BCA}">
  <dimension ref="B1:N13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1.90625" style="19" customWidth="1"/>
    <col min="2" max="2" width="17" style="19" customWidth="1"/>
    <col min="3" max="3" width="69.36328125" style="19" customWidth="1"/>
    <col min="4" max="5" width="24.453125" style="19" customWidth="1"/>
    <col min="6" max="6" width="20.1796875" style="19" customWidth="1"/>
    <col min="7" max="16384" width="8.7265625" style="19"/>
  </cols>
  <sheetData>
    <row r="1" spans="2:14" ht="50.5" customHeight="1" x14ac:dyDescent="0.35">
      <c r="B1" s="39" t="s">
        <v>76</v>
      </c>
      <c r="C1" s="39"/>
      <c r="D1" s="39"/>
      <c r="E1" s="39"/>
      <c r="F1" s="39"/>
    </row>
    <row r="2" spans="2:14" s="1" customFormat="1" x14ac:dyDescent="0.35">
      <c r="B2" s="22" t="s">
        <v>70</v>
      </c>
      <c r="C2" s="1" t="s">
        <v>29</v>
      </c>
      <c r="L2" s="3"/>
      <c r="N2" s="2"/>
    </row>
    <row r="3" spans="2:14" s="1" customFormat="1" x14ac:dyDescent="0.35">
      <c r="B3" s="22" t="s">
        <v>71</v>
      </c>
      <c r="C3" s="1" t="s">
        <v>72</v>
      </c>
      <c r="L3" s="3"/>
      <c r="N3" s="2"/>
    </row>
    <row r="5" spans="2:14" ht="24.5" customHeight="1" x14ac:dyDescent="0.35">
      <c r="B5" s="25" t="s">
        <v>73</v>
      </c>
      <c r="C5" s="25" t="s">
        <v>74</v>
      </c>
      <c r="D5" s="25" t="s">
        <v>75</v>
      </c>
      <c r="E5" s="25" t="s">
        <v>96</v>
      </c>
      <c r="F5" s="25" t="s">
        <v>92</v>
      </c>
      <c r="G5" s="25" t="s">
        <v>108</v>
      </c>
    </row>
    <row r="6" spans="2:14" s="26" customFormat="1" ht="42" customHeight="1" x14ac:dyDescent="0.35">
      <c r="B6" s="27" t="s">
        <v>11</v>
      </c>
      <c r="C6" s="27" t="s">
        <v>77</v>
      </c>
      <c r="D6" s="27" t="s">
        <v>78</v>
      </c>
      <c r="E6" s="27" t="s">
        <v>97</v>
      </c>
      <c r="F6" s="27" t="s">
        <v>11</v>
      </c>
      <c r="G6" s="27" t="s">
        <v>109</v>
      </c>
    </row>
    <row r="7" spans="2:14" s="26" customFormat="1" ht="42" customHeight="1" x14ac:dyDescent="0.35">
      <c r="B7" s="27" t="s">
        <v>12</v>
      </c>
      <c r="C7" s="27" t="s">
        <v>79</v>
      </c>
      <c r="D7" s="27" t="s">
        <v>78</v>
      </c>
      <c r="E7" s="27" t="s">
        <v>10</v>
      </c>
      <c r="F7" s="27" t="s">
        <v>12</v>
      </c>
      <c r="G7" s="27" t="s">
        <v>109</v>
      </c>
    </row>
    <row r="8" spans="2:14" s="26" customFormat="1" ht="42" customHeight="1" x14ac:dyDescent="0.35">
      <c r="B8" s="27" t="s">
        <v>91</v>
      </c>
      <c r="C8" s="27" t="s">
        <v>80</v>
      </c>
      <c r="D8" s="27" t="s">
        <v>78</v>
      </c>
      <c r="E8" s="27" t="s">
        <v>98</v>
      </c>
      <c r="F8" s="27" t="s">
        <v>106</v>
      </c>
      <c r="G8" s="27" t="s">
        <v>109</v>
      </c>
    </row>
    <row r="9" spans="2:14" s="26" customFormat="1" ht="42" customHeight="1" x14ac:dyDescent="0.35">
      <c r="B9" s="27" t="s">
        <v>93</v>
      </c>
      <c r="C9" s="27" t="s">
        <v>81</v>
      </c>
      <c r="D9" s="27" t="s">
        <v>82</v>
      </c>
      <c r="E9" s="27" t="s">
        <v>102</v>
      </c>
      <c r="F9" s="27" t="s">
        <v>105</v>
      </c>
      <c r="G9" s="27" t="s">
        <v>63</v>
      </c>
    </row>
    <row r="10" spans="2:14" s="26" customFormat="1" ht="42" customHeight="1" x14ac:dyDescent="0.35">
      <c r="B10" s="27" t="s">
        <v>26</v>
      </c>
      <c r="C10" s="27" t="s">
        <v>85</v>
      </c>
      <c r="D10" s="27" t="s">
        <v>86</v>
      </c>
      <c r="E10" s="27" t="s">
        <v>24</v>
      </c>
      <c r="F10" s="27" t="s">
        <v>107</v>
      </c>
      <c r="G10" s="27" t="s">
        <v>63</v>
      </c>
    </row>
    <row r="11" spans="2:14" s="26" customFormat="1" ht="42" customHeight="1" x14ac:dyDescent="0.35">
      <c r="B11" s="27" t="s">
        <v>17</v>
      </c>
      <c r="C11" s="27" t="s">
        <v>84</v>
      </c>
      <c r="D11" s="27" t="s">
        <v>83</v>
      </c>
      <c r="E11" s="27" t="s">
        <v>16</v>
      </c>
      <c r="F11" s="27" t="s">
        <v>17</v>
      </c>
      <c r="G11" s="27" t="s">
        <v>63</v>
      </c>
    </row>
    <row r="12" spans="2:14" s="26" customFormat="1" ht="42" customHeight="1" x14ac:dyDescent="0.35">
      <c r="B12" s="27" t="s">
        <v>87</v>
      </c>
      <c r="C12" s="27" t="s">
        <v>88</v>
      </c>
      <c r="D12" s="27" t="s">
        <v>89</v>
      </c>
      <c r="E12" s="27" t="s">
        <v>99</v>
      </c>
      <c r="F12" s="27" t="s">
        <v>87</v>
      </c>
      <c r="G12" s="27" t="s">
        <v>63</v>
      </c>
    </row>
    <row r="13" spans="2:14" s="26" customFormat="1" ht="42" customHeight="1" x14ac:dyDescent="0.35">
      <c r="B13" s="27" t="s">
        <v>90</v>
      </c>
      <c r="C13" s="27" t="s">
        <v>94</v>
      </c>
      <c r="D13" s="27" t="s">
        <v>89</v>
      </c>
      <c r="E13" s="27" t="s">
        <v>100</v>
      </c>
      <c r="F13" s="27" t="s">
        <v>90</v>
      </c>
      <c r="G13" s="27" t="s">
        <v>63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525-7D88-4055-8D97-F6999EE1F325}">
  <dimension ref="B1:M24"/>
  <sheetViews>
    <sheetView tabSelected="1" topLeftCell="A13" workbookViewId="0">
      <selection activeCell="E15" sqref="E15"/>
    </sheetView>
  </sheetViews>
  <sheetFormatPr baseColWidth="10" defaultRowHeight="14.5" x14ac:dyDescent="0.35"/>
  <cols>
    <col min="1" max="1" width="1.1796875" style="1" customWidth="1"/>
    <col min="2" max="2" width="17.36328125" style="1" customWidth="1"/>
    <col min="3" max="3" width="30.26953125" style="32" customWidth="1"/>
    <col min="4" max="4" width="49.26953125" style="1" customWidth="1"/>
    <col min="5" max="5" width="22.453125" style="1" customWidth="1"/>
    <col min="6" max="6" width="45.54296875" style="1" customWidth="1"/>
    <col min="7" max="7" width="1.1796875" style="1" customWidth="1"/>
    <col min="8" max="16384" width="10.90625" style="1"/>
  </cols>
  <sheetData>
    <row r="1" spans="2:13" s="19" customFormat="1" ht="50.5" customHeight="1" x14ac:dyDescent="0.35">
      <c r="B1" s="39" t="s">
        <v>76</v>
      </c>
      <c r="C1" s="39"/>
      <c r="D1" s="39"/>
      <c r="E1" s="39"/>
      <c r="F1" s="39"/>
    </row>
    <row r="2" spans="2:13" x14ac:dyDescent="0.35">
      <c r="B2" s="22" t="s">
        <v>70</v>
      </c>
      <c r="C2" s="32" t="s">
        <v>29</v>
      </c>
      <c r="K2" s="3"/>
      <c r="M2" s="2"/>
    </row>
    <row r="3" spans="2:13" x14ac:dyDescent="0.35">
      <c r="B3" s="22" t="s">
        <v>71</v>
      </c>
      <c r="C3" s="32" t="s">
        <v>72</v>
      </c>
      <c r="K3" s="3"/>
      <c r="M3" s="2"/>
    </row>
    <row r="4" spans="2:13" s="19" customFormat="1" x14ac:dyDescent="0.35">
      <c r="C4" s="26"/>
    </row>
    <row r="6" spans="2:13" ht="22.5" customHeight="1" x14ac:dyDescent="0.35">
      <c r="B6" s="25" t="s">
        <v>120</v>
      </c>
      <c r="C6" s="31" t="s">
        <v>116</v>
      </c>
      <c r="D6" s="25" t="s">
        <v>117</v>
      </c>
      <c r="E6" s="25" t="s">
        <v>118</v>
      </c>
      <c r="F6" s="25" t="s">
        <v>119</v>
      </c>
    </row>
    <row r="7" spans="2:13" s="26" customFormat="1" ht="87.5" x14ac:dyDescent="0.35">
      <c r="B7" s="29" t="s">
        <v>12</v>
      </c>
      <c r="C7" s="27" t="s">
        <v>10</v>
      </c>
      <c r="D7" s="27" t="s">
        <v>134</v>
      </c>
      <c r="E7" s="30" t="s">
        <v>185</v>
      </c>
      <c r="F7" s="30" t="s">
        <v>186</v>
      </c>
    </row>
    <row r="8" spans="2:13" s="26" customFormat="1" ht="37.5" x14ac:dyDescent="0.35">
      <c r="B8" s="29" t="s">
        <v>12</v>
      </c>
      <c r="C8" s="27" t="s">
        <v>121</v>
      </c>
      <c r="D8" s="27" t="s">
        <v>135</v>
      </c>
      <c r="E8" s="30" t="s">
        <v>163</v>
      </c>
      <c r="F8" s="30" t="s">
        <v>164</v>
      </c>
    </row>
    <row r="9" spans="2:13" s="26" customFormat="1" ht="25" x14ac:dyDescent="0.35">
      <c r="B9" s="29" t="s">
        <v>12</v>
      </c>
      <c r="C9" s="27" t="s">
        <v>122</v>
      </c>
      <c r="D9" s="27" t="s">
        <v>136</v>
      </c>
      <c r="E9" s="30" t="s">
        <v>162</v>
      </c>
      <c r="F9" s="30" t="s">
        <v>161</v>
      </c>
    </row>
    <row r="10" spans="2:13" s="26" customFormat="1" ht="25" x14ac:dyDescent="0.35">
      <c r="B10" s="29" t="s">
        <v>12</v>
      </c>
      <c r="C10" s="27" t="s">
        <v>123</v>
      </c>
      <c r="D10" s="27" t="s">
        <v>137</v>
      </c>
      <c r="E10" s="30" t="s">
        <v>160</v>
      </c>
      <c r="F10" s="30" t="s">
        <v>165</v>
      </c>
    </row>
    <row r="11" spans="2:13" s="26" customFormat="1" ht="25" x14ac:dyDescent="0.35">
      <c r="B11" s="29" t="s">
        <v>12</v>
      </c>
      <c r="C11" s="27" t="s">
        <v>124</v>
      </c>
      <c r="D11" s="27" t="s">
        <v>138</v>
      </c>
      <c r="E11" s="30" t="s">
        <v>166</v>
      </c>
      <c r="F11" s="30" t="s">
        <v>167</v>
      </c>
    </row>
    <row r="12" spans="2:13" s="26" customFormat="1" ht="112.5" x14ac:dyDescent="0.35">
      <c r="B12" s="29" t="s">
        <v>12</v>
      </c>
      <c r="C12" s="27" t="s">
        <v>125</v>
      </c>
      <c r="D12" s="27" t="s">
        <v>139</v>
      </c>
      <c r="E12" s="30" t="s">
        <v>168</v>
      </c>
      <c r="F12" s="30" t="s">
        <v>169</v>
      </c>
    </row>
    <row r="13" spans="2:13" s="26" customFormat="1" ht="62.5" x14ac:dyDescent="0.35">
      <c r="B13" s="29" t="s">
        <v>106</v>
      </c>
      <c r="C13" s="27" t="s">
        <v>98</v>
      </c>
      <c r="D13" s="27" t="s">
        <v>140</v>
      </c>
      <c r="E13" s="30" t="s">
        <v>183</v>
      </c>
      <c r="F13" s="30" t="s">
        <v>184</v>
      </c>
    </row>
    <row r="14" spans="2:13" s="26" customFormat="1" ht="50" x14ac:dyDescent="0.35">
      <c r="B14" s="29" t="s">
        <v>11</v>
      </c>
      <c r="C14" s="27" t="s">
        <v>97</v>
      </c>
      <c r="D14" s="27" t="s">
        <v>130</v>
      </c>
      <c r="E14" s="30" t="s">
        <v>170</v>
      </c>
      <c r="F14" s="30" t="s">
        <v>171</v>
      </c>
    </row>
    <row r="15" spans="2:13" s="26" customFormat="1" ht="37.5" x14ac:dyDescent="0.35">
      <c r="B15" s="29" t="s">
        <v>12</v>
      </c>
      <c r="C15" s="27" t="s">
        <v>126</v>
      </c>
      <c r="D15" s="27" t="s">
        <v>131</v>
      </c>
      <c r="E15" s="30" t="s">
        <v>172</v>
      </c>
      <c r="F15" s="30" t="s">
        <v>173</v>
      </c>
    </row>
    <row r="16" spans="2:13" s="26" customFormat="1" ht="75" x14ac:dyDescent="0.35">
      <c r="B16" s="29" t="s">
        <v>11</v>
      </c>
      <c r="C16" s="27" t="s">
        <v>127</v>
      </c>
      <c r="D16" s="27" t="s">
        <v>129</v>
      </c>
      <c r="E16" s="30" t="s">
        <v>174</v>
      </c>
      <c r="F16" s="30" t="s">
        <v>175</v>
      </c>
    </row>
    <row r="17" spans="2:6" s="26" customFormat="1" ht="37.5" x14ac:dyDescent="0.35">
      <c r="B17" s="29" t="s">
        <v>17</v>
      </c>
      <c r="C17" s="27" t="s">
        <v>16</v>
      </c>
      <c r="D17" s="27" t="s">
        <v>176</v>
      </c>
      <c r="E17" s="30" t="s">
        <v>177</v>
      </c>
      <c r="F17" s="30" t="s">
        <v>178</v>
      </c>
    </row>
    <row r="18" spans="2:6" s="26" customFormat="1" ht="25" x14ac:dyDescent="0.35">
      <c r="B18" s="29" t="s">
        <v>12</v>
      </c>
      <c r="C18" s="27" t="s">
        <v>19</v>
      </c>
      <c r="D18" s="27" t="s">
        <v>128</v>
      </c>
      <c r="E18" s="30" t="s">
        <v>179</v>
      </c>
      <c r="F18" s="30" t="s">
        <v>180</v>
      </c>
    </row>
    <row r="19" spans="2:6" s="26" customFormat="1" ht="50" x14ac:dyDescent="0.35">
      <c r="B19" s="29" t="s">
        <v>90</v>
      </c>
      <c r="C19" s="27" t="s">
        <v>132</v>
      </c>
      <c r="D19" s="27" t="s">
        <v>133</v>
      </c>
      <c r="E19" s="30" t="s">
        <v>181</v>
      </c>
      <c r="F19" s="30" t="s">
        <v>182</v>
      </c>
    </row>
    <row r="20" spans="2:6" s="26" customFormat="1" ht="37.5" x14ac:dyDescent="0.35">
      <c r="B20" s="29" t="s">
        <v>90</v>
      </c>
      <c r="C20" s="27" t="s">
        <v>125</v>
      </c>
      <c r="D20" s="27" t="s">
        <v>141</v>
      </c>
      <c r="E20" s="30" t="s">
        <v>142</v>
      </c>
      <c r="F20" s="30" t="s">
        <v>143</v>
      </c>
    </row>
    <row r="21" spans="2:6" s="26" customFormat="1" ht="50" x14ac:dyDescent="0.35">
      <c r="B21" s="29" t="s">
        <v>90</v>
      </c>
      <c r="C21" s="27" t="s">
        <v>144</v>
      </c>
      <c r="D21" s="27" t="s">
        <v>145</v>
      </c>
      <c r="E21" s="30" t="s">
        <v>146</v>
      </c>
      <c r="F21" s="30" t="s">
        <v>147</v>
      </c>
    </row>
    <row r="22" spans="2:6" s="26" customFormat="1" ht="25" x14ac:dyDescent="0.35">
      <c r="B22" s="29" t="s">
        <v>90</v>
      </c>
      <c r="C22" s="27" t="s">
        <v>148</v>
      </c>
      <c r="D22" s="27" t="s">
        <v>149</v>
      </c>
      <c r="E22" s="30" t="s">
        <v>150</v>
      </c>
      <c r="F22" s="30" t="s">
        <v>151</v>
      </c>
    </row>
    <row r="23" spans="2:6" s="26" customFormat="1" ht="37.5" x14ac:dyDescent="0.35">
      <c r="B23" s="29" t="s">
        <v>12</v>
      </c>
      <c r="C23" s="27" t="s">
        <v>152</v>
      </c>
      <c r="D23" s="27" t="s">
        <v>154</v>
      </c>
      <c r="E23" s="30" t="s">
        <v>156</v>
      </c>
      <c r="F23" s="30" t="s">
        <v>157</v>
      </c>
    </row>
    <row r="24" spans="2:6" ht="58" x14ac:dyDescent="0.35">
      <c r="B24" s="29" t="s">
        <v>12</v>
      </c>
      <c r="C24" s="32" t="s">
        <v>153</v>
      </c>
      <c r="D24" s="27" t="s">
        <v>155</v>
      </c>
      <c r="E24" s="33" t="s">
        <v>158</v>
      </c>
      <c r="F24" s="33" t="s">
        <v>159</v>
      </c>
    </row>
  </sheetData>
  <autoFilter ref="A6:N6" xr:uid="{1EF0D533-1CBF-438B-9C97-97F08902D58C}"/>
  <mergeCells count="1">
    <mergeCell ref="B1:F1"/>
  </mergeCells>
  <dataValidations count="1">
    <dataValidation type="list" allowBlank="1" showInputMessage="1" showErrorMessage="1" sqref="B7:B24" xr:uid="{FA10F35C-75EB-4CC4-96D4-29249F1A317B}">
      <formula1>DOMINIOS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Portafolio</vt:lpstr>
      <vt:lpstr>Dominios</vt:lpstr>
      <vt:lpstr>Modelo_Informacion</vt:lpstr>
      <vt:lpstr>DOMINIOS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ILVER ANACHE</dc:creator>
  <cp:lastModifiedBy>Ilver Anache</cp:lastModifiedBy>
  <dcterms:created xsi:type="dcterms:W3CDTF">2023-08-01T15:28:57Z</dcterms:created>
  <dcterms:modified xsi:type="dcterms:W3CDTF">2025-01-30T16:29:00Z</dcterms:modified>
</cp:coreProperties>
</file>